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omics" sheetId="1" state="visible" r:id="rId1"/>
    <sheet xmlns:r="http://schemas.openxmlformats.org/officeDocument/2006/relationships" name="Reserva &amp; Saldos" sheetId="2" state="visible" r:id="rId2"/>
    <sheet xmlns:r="http://schemas.openxmlformats.org/officeDocument/2006/relationships"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D4AF37"/>
      <sz val="16"/>
    </font>
    <font>
      <name val="Arial"/>
      <color rgb="008B7300"/>
      <sz val="9"/>
    </font>
    <font>
      <name val="Arial"/>
      <b val="1"/>
      <color rgb="00B8941F"/>
      <sz val="11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</font>
    <font>
      <name val="Arial"/>
      <color rgb="000000FF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A2415"/>
      </patternFill>
    </fill>
    <fill>
      <patternFill patternType="solid">
        <fgColor rgb="00F5E6C8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8941F"/>
      </left>
      <right style="thin">
        <color rgb="00B8941F"/>
      </right>
      <top style="thin">
        <color rgb="00B8941F"/>
      </top>
      <bottom style="thin">
        <color rgb="00B8941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0" borderId="1" pivotButton="0" quotePrefix="0" xfId="0"/>
    <xf numFmtId="9" fontId="6" fillId="4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9" fontId="9" fillId="5" borderId="1" pivotButton="0" quotePrefix="0" xfId="0"/>
    <xf numFmtId="3" fontId="9" fillId="5" borderId="1" pivotButton="0" quotePrefix="0" xfId="0"/>
    <xf numFmtId="164" fontId="9" fillId="5" borderId="1" pivotButton="0" quotePrefix="0" xfId="0"/>
    <xf numFmtId="0" fontId="10" fillId="0" borderId="0" pivotButton="0" quotePrefix="0" xfId="0"/>
    <xf numFmtId="0" fontId="0" fillId="0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9" fillId="0" borderId="0" pivotButton="0" quotePrefix="0" xfId="0"/>
    <xf numFmtId="166" fontId="11" fillId="5" borderId="1" pivotButton="0" quotePrefix="0" xfId="0"/>
    <xf numFmtId="0" fontId="5" fillId="0" borderId="0" pivotButton="0" quotePrefix="0" xfId="0"/>
    <xf numFmtId="1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Fundos USTD</a:t>
            </a:r>
          </a:p>
        </rich>
      </tx>
    </title>
    <plotArea>
      <pieChart>
        <varyColors val="1"/>
        <ser>
          <idx val="0"/>
          <order val="0"/>
          <tx>
            <strRef>
              <f>'Tokenomics'!C22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'Tokenomics'!$B$23:$B$27</f>
            </numRef>
          </cat>
          <val>
            <numRef>
              <f>'Tokenomics'!$C$23:$C$27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22" customWidth="1" min="4" max="4"/>
    <col width="18" customWidth="1" min="5" max="5"/>
    <col width="22" customWidth="1" min="6" max="6"/>
    <col width="14" customWidth="1" min="7" max="7"/>
  </cols>
  <sheetData>
    <row r="2">
      <c r="B2" s="1" t="inlineStr">
        <is>
          <t>AETHELSTAN / USTD — TOKENOMICS &amp; RESERVAS</t>
        </is>
      </c>
    </row>
    <row r="3">
      <c r="B3" s="2" t="inlineStr">
        <is>
          <t>Atualizado em 29/10/2026 07:34 • Rede Ethereum Mainnet</t>
        </is>
      </c>
    </row>
    <row r="5">
      <c r="B5" s="3" t="inlineStr">
        <is>
          <t>CONTRATOS OFICIAIS</t>
        </is>
      </c>
    </row>
    <row r="6">
      <c r="B6" s="4" t="inlineStr">
        <is>
          <t>Item</t>
        </is>
      </c>
      <c r="C6" s="4" t="inlineStr">
        <is>
          <t>Endereço</t>
        </is>
      </c>
      <c r="D6" s="4" t="inlineStr">
        <is>
          <t>Rede</t>
        </is>
      </c>
      <c r="E6" s="4" t="inlineStr">
        <is>
          <t>Status</t>
        </is>
      </c>
    </row>
    <row r="7">
      <c r="B7" s="5" t="inlineStr">
        <is>
          <t>Token USTD (ERC-20)</t>
        </is>
      </c>
      <c r="C7" s="6" t="inlineStr">
        <is>
          <t>0x4644E1113FE1a6bA831D85cc4772b3D0c23DE655</t>
        </is>
      </c>
      <c r="D7" s="6" t="inlineStr">
        <is>
          <t>Ethereum</t>
        </is>
      </c>
      <c r="E7" s="6" t="inlineStr">
        <is>
          <t>Ativo</t>
        </is>
      </c>
    </row>
    <row r="8">
      <c r="B8" s="7" t="inlineStr">
        <is>
          <t>Carteira de Domínio</t>
        </is>
      </c>
      <c r="C8" s="8" t="inlineStr">
        <is>
          <t>0x26Ef6c3AF50240F211E774213914f8DB526fA77d</t>
        </is>
      </c>
      <c r="D8" s="8" t="inlineStr">
        <is>
          <t>Ethereum</t>
        </is>
      </c>
      <c r="E8" s="8" t="inlineStr">
        <is>
          <t>Ativo</t>
        </is>
      </c>
    </row>
    <row r="9">
      <c r="B9" s="5" t="inlineStr">
        <is>
          <t>Fundo de Reserva / Garantia</t>
        </is>
      </c>
      <c r="C9" s="6" t="inlineStr">
        <is>
          <t>0xB0A27099582833c0Cb8C7A0565759fF145113d64</t>
        </is>
      </c>
      <c r="D9" s="6" t="inlineStr">
        <is>
          <t>Ethereum</t>
        </is>
      </c>
      <c r="E9" s="6" t="inlineStr">
        <is>
          <t>Ativo</t>
        </is>
      </c>
    </row>
    <row r="10">
      <c r="B10" s="7" t="inlineStr">
        <is>
          <t>USDT (referência)</t>
        </is>
      </c>
      <c r="C10" s="8" t="inlineStr">
        <is>
          <t>0xdAC17F958D2ee523a2206206994597C13D831ec7</t>
        </is>
      </c>
      <c r="D10" s="8" t="inlineStr">
        <is>
          <t>Ethereum</t>
        </is>
      </c>
      <c r="E10" s="8" t="inlineStr">
        <is>
          <t>Oficial</t>
        </is>
      </c>
    </row>
    <row r="12">
      <c r="B12" s="3" t="inlineStr">
        <is>
          <t>SUPPLY &amp; PARIDADE</t>
        </is>
      </c>
    </row>
    <row r="13">
      <c r="B13" s="4" t="inlineStr">
        <is>
          <t>Métrica</t>
        </is>
      </c>
      <c r="C13" s="4" t="inlineStr">
        <is>
          <t>Valor</t>
        </is>
      </c>
      <c r="D13" s="4" t="inlineStr">
        <is>
          <t>Unidade</t>
        </is>
      </c>
      <c r="E13" s="4" t="inlineStr">
        <is>
          <t>Observação</t>
        </is>
      </c>
    </row>
    <row r="14">
      <c r="B14" s="5" t="inlineStr">
        <is>
          <t>Total Supply</t>
        </is>
      </c>
      <c r="C14" s="9" t="n">
        <v>1000000000</v>
      </c>
      <c r="D14" s="6" t="inlineStr">
        <is>
          <t>USTD</t>
        </is>
      </c>
      <c r="E14" s="6" t="inlineStr">
        <is>
          <t>1 bilhão de tokens</t>
        </is>
      </c>
    </row>
    <row r="15">
      <c r="B15" s="5" t="inlineStr">
        <is>
          <t>Decimals</t>
        </is>
      </c>
      <c r="C15" s="10" t="n">
        <v>18</v>
      </c>
      <c r="D15" s="6" t="inlineStr"/>
      <c r="E15" s="6" t="inlineStr">
        <is>
          <t>Padrão ERC-20</t>
        </is>
      </c>
    </row>
    <row r="16">
      <c r="B16" s="5" t="inlineStr">
        <is>
          <t>Paridade Alvo</t>
        </is>
      </c>
      <c r="C16" s="11" t="n">
        <v>1</v>
      </c>
      <c r="D16" s="6" t="inlineStr">
        <is>
          <t>USD</t>
        </is>
      </c>
      <c r="E16" s="6" t="inlineStr">
        <is>
          <t>1 USTD = 1 USD</t>
        </is>
      </c>
    </row>
    <row r="17">
      <c r="B17" s="5" t="inlineStr">
        <is>
          <t>Market Cap (alvo)</t>
        </is>
      </c>
      <c r="C17" s="9" t="n">
        <v>1000000000</v>
      </c>
      <c r="D17" s="6" t="inlineStr">
        <is>
          <t>USD</t>
        </is>
      </c>
      <c r="E17" s="6" t="inlineStr">
        <is>
          <t>Se 100% circulante a $1</t>
        </is>
      </c>
    </row>
    <row r="18">
      <c r="B18" s="5" t="inlineStr">
        <is>
          <t>Circulating (estimado)</t>
        </is>
      </c>
      <c r="C18" s="9" t="n">
        <v>1000000</v>
      </c>
      <c r="D18" s="6" t="inlineStr">
        <is>
          <t>USTD</t>
        </is>
      </c>
      <c r="E18" s="6" t="inlineStr">
        <is>
          <t>Ajustável</t>
        </is>
      </c>
    </row>
    <row r="21">
      <c r="B21" s="3" t="inlineStr">
        <is>
          <t>DISTRIBUIÇÃO DE FUNDOS (FUNDS ALLOCATION)</t>
        </is>
      </c>
    </row>
    <row r="22">
      <c r="B22" s="4" t="inlineStr">
        <is>
          <t>Categoria</t>
        </is>
      </c>
      <c r="C22" s="4" t="inlineStr">
        <is>
          <t>%</t>
        </is>
      </c>
      <c r="D22" s="4" t="inlineStr">
        <is>
          <t>Quantidade (USTD)</t>
        </is>
      </c>
      <c r="E22" s="4" t="inlineStr">
        <is>
          <t>Valor USD (a $1)</t>
        </is>
      </c>
      <c r="F22" s="4" t="inlineStr">
        <is>
          <t>Status</t>
        </is>
      </c>
    </row>
    <row r="23">
      <c r="B23" s="12" t="inlineStr">
        <is>
          <t>Reserva</t>
        </is>
      </c>
      <c r="C23" s="13" t="n">
        <v>0.6</v>
      </c>
      <c r="D23" s="14">
        <f>C14*C23</f>
        <v/>
      </c>
      <c r="E23" s="15">
        <f>D23*1</f>
        <v/>
      </c>
      <c r="F23" s="12" t="inlineStr">
        <is>
          <t>Principal colateral</t>
        </is>
      </c>
    </row>
    <row r="24">
      <c r="B24" s="12" t="inlineStr">
        <is>
          <t>Conservação</t>
        </is>
      </c>
      <c r="C24" s="13" t="n">
        <v>0.15</v>
      </c>
      <c r="D24" s="14">
        <f>C14*C24</f>
        <v/>
      </c>
      <c r="E24" s="15">
        <f>D24*1</f>
        <v/>
      </c>
      <c r="F24" s="12" t="inlineStr">
        <is>
          <t>Longo prazo</t>
        </is>
      </c>
    </row>
    <row r="25">
      <c r="B25" s="12" t="inlineStr">
        <is>
          <t>Comunidades</t>
        </is>
      </c>
      <c r="C25" s="13" t="n">
        <v>0.1</v>
      </c>
      <c r="D25" s="14">
        <f>C14*C25</f>
        <v/>
      </c>
      <c r="E25" s="15">
        <f>D25*1</f>
        <v/>
      </c>
      <c r="F25" s="12" t="inlineStr">
        <is>
          <t>Airdrops / incentivos</t>
        </is>
      </c>
    </row>
    <row r="26">
      <c r="B26" s="12" t="inlineStr">
        <is>
          <t>Tecnologia</t>
        </is>
      </c>
      <c r="C26" s="13" t="n">
        <v>0.08</v>
      </c>
      <c r="D26" s="14">
        <f>C14*C26</f>
        <v/>
      </c>
      <c r="E26" s="15">
        <f>D26*1</f>
        <v/>
      </c>
      <c r="F26" s="12" t="inlineStr">
        <is>
          <t>Desenvolvimento</t>
        </is>
      </c>
    </row>
    <row r="27">
      <c r="B27" s="12" t="inlineStr">
        <is>
          <t>Emergência</t>
        </is>
      </c>
      <c r="C27" s="13" t="n">
        <v>0.07000000000000001</v>
      </c>
      <c r="D27" s="14">
        <f>C14*C27</f>
        <v/>
      </c>
      <c r="E27" s="15">
        <f>D27*1</f>
        <v/>
      </c>
      <c r="F27" s="12" t="inlineStr">
        <is>
          <t>Buffer de risco</t>
        </is>
      </c>
    </row>
    <row r="28">
      <c r="B28" s="16" t="inlineStr">
        <is>
          <t>TOTAL</t>
        </is>
      </c>
      <c r="C28" s="17">
        <f>SUM(C23:C27)</f>
        <v/>
      </c>
      <c r="D28" s="18">
        <f>SUM(D23:D27)</f>
        <v/>
      </c>
      <c r="E28" s="19">
        <f>SUM(E23:E27)</f>
        <v/>
      </c>
    </row>
  </sheetData>
  <mergeCells count="4">
    <mergeCell ref="B3:G3"/>
    <mergeCell ref="B2:G2"/>
    <mergeCell ref="B21:F21"/>
    <mergeCell ref="B5:D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2">
      <c r="B2" s="1" t="inlineStr">
        <is>
          <t>FUNDO DE RESERVA — MONITORAMENTO</t>
        </is>
      </c>
    </row>
    <row r="4">
      <c r="B4" s="3" t="inlineStr">
        <is>
          <t>Carteira de Reserva</t>
        </is>
      </c>
    </row>
    <row r="5">
      <c r="B5" s="20" t="inlineStr">
        <is>
          <t>0xB0A27099582833c0Cb8C7A0565759fF145113d64</t>
        </is>
      </c>
    </row>
    <row r="7">
      <c r="B7" s="3" t="inlineStr">
        <is>
          <t>SALDOS ATUAIS (preencher / atualizar via RPC)</t>
        </is>
      </c>
    </row>
    <row r="8">
      <c r="B8" s="4" t="inlineStr">
        <is>
          <t>Ativo</t>
        </is>
      </c>
      <c r="C8" s="4" t="inlineStr">
        <is>
          <t>Saldo</t>
        </is>
      </c>
      <c r="D8" s="4" t="inlineStr">
        <is>
          <t>Preço USD</t>
        </is>
      </c>
      <c r="E8" s="4" t="inlineStr">
        <is>
          <t>Valor USD</t>
        </is>
      </c>
      <c r="F8" s="4" t="inlineStr">
        <is>
          <t>Última Atualização</t>
        </is>
      </c>
    </row>
    <row r="9">
      <c r="B9" s="21" t="inlineStr">
        <is>
          <t>ETH</t>
        </is>
      </c>
      <c r="C9" s="22" t="n">
        <v>0</v>
      </c>
      <c r="D9" s="23" t="n">
        <v>3500</v>
      </c>
      <c r="E9" s="24">
        <f>C9*D9</f>
        <v/>
      </c>
      <c r="F9" s="21" t="inlineStr">
        <is>
          <t>29/10/2026 07:34</t>
        </is>
      </c>
    </row>
    <row r="10">
      <c r="B10" s="21" t="inlineStr">
        <is>
          <t>USDT</t>
        </is>
      </c>
      <c r="C10" s="25" t="n">
        <v>0</v>
      </c>
      <c r="D10" s="23" t="n">
        <v>1</v>
      </c>
      <c r="E10" s="24">
        <f>C10*D10</f>
        <v/>
      </c>
      <c r="F10" s="21" t="inlineStr">
        <is>
          <t>29/10/2026 07:34</t>
        </is>
      </c>
    </row>
    <row r="11">
      <c r="B11" s="21" t="inlineStr">
        <is>
          <t>USTD</t>
        </is>
      </c>
      <c r="C11" s="25" t="n">
        <v>1000000</v>
      </c>
      <c r="D11" s="23" t="n">
        <v>1</v>
      </c>
      <c r="E11" s="24">
        <f>C11*D11</f>
        <v/>
      </c>
      <c r="F11" s="21" t="inlineStr">
        <is>
          <t>29/10/2026 07:34</t>
        </is>
      </c>
    </row>
    <row r="12">
      <c r="B12" s="26" t="inlineStr">
        <is>
          <t>TOTAL RESERVA (USD)</t>
        </is>
      </c>
      <c r="E12" s="27">
        <f>SUM(E9:E11)</f>
        <v/>
      </c>
    </row>
    <row r="14">
      <c r="B14" s="28" t="inlineStr">
        <is>
          <t>Cobertura da Paridade (Reserva / Circulating)</t>
        </is>
      </c>
      <c r="E14" s="29">
        <f>IF(C11=0,0,E12/C11)</f>
        <v/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30" t="inlineStr">
        <is>
          <t>COMO USAR ESTA PLANILHA</t>
        </is>
      </c>
    </row>
    <row r="4">
      <c r="B4" s="28" t="inlineStr">
        <is>
          <t>1. Aba Tokenomics: contém a distribuição oficial dos fundos (Reserva 60%, Conservação 15%, etc.).</t>
        </is>
      </c>
    </row>
    <row r="5">
      <c r="B5" s="28" t="inlineStr">
        <is>
          <t>2. Células em AMARELO + texto AZUL são INPUTS — você pode alterar os percentuais e os saldos.</t>
        </is>
      </c>
    </row>
    <row r="6">
      <c r="B6" s="28" t="inlineStr">
        <is>
          <t>3. Células com fórmulas (texto preto) calculam automaticamente quantidade e valor em USD.</t>
        </is>
      </c>
    </row>
    <row r="7">
      <c r="B7" s="28" t="inlineStr">
        <is>
          <t>4. Aba Reserva &amp; Saldos: atualize manualmente os saldos de ETH, USDT e USTD lidos via RPC ou Etherscan.</t>
        </is>
      </c>
    </row>
    <row r="8">
      <c r="B8" s="28" t="inlineStr">
        <is>
          <t>5. O gráfico de pizza reflete a distribuição percentual definida na aba Tokenomics.</t>
        </is>
      </c>
    </row>
    <row r="9">
      <c r="B9" s="28" t="inlineStr">
        <is>
          <t>6. Endereços oficiais estão listados na primeira aba — não altere sem necessidade.</t>
        </is>
      </c>
    </row>
    <row r="10">
      <c r="B10" s="28" t="inlineStr">
        <is>
          <t>7. Para integração real com a exchange, os valores de Circulating e Reserva devem ser sincronizados com o contrato.</t>
        </is>
      </c>
    </row>
    <row r="11">
      <c r="B11" s="28" t="inlineStr"/>
    </row>
    <row r="12">
      <c r="B12" s="28" t="inlineStr">
        <is>
          <t>Contratos principais:</t>
        </is>
      </c>
    </row>
    <row r="13">
      <c r="B13" s="28" t="inlineStr">
        <is>
          <t>• USTD: 0x4644E1113FE1a6bA831D85cc4772b3D0c23DE655</t>
        </is>
      </c>
    </row>
    <row r="14">
      <c r="B14" s="28" t="inlineStr">
        <is>
          <t>• Reserva: 0xB0A27099582833c0Cb8C7A0565759fF145113d64</t>
        </is>
      </c>
    </row>
    <row r="15">
      <c r="B15" s="28" t="inlineStr"/>
    </row>
    <row r="16">
      <c r="B16" s="28" t="inlineStr">
        <is>
          <t>AETHELSTAN Exchange • USTD Stablecoin •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2026-10-29T07:34:21Z</dcterms:created>
  <dcterms:modified xmlns:dcterms="http://purl.org/dc/terms/" xmlns:xsi="http://www.w3.org/2001/XMLSchema-instance" xsi:type="dcterms:W3CDTF">2026-10-29T07:34:22Z</dcterms:modified>
</cp:coreProperties>
</file>